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6be1faac37d05e/Desktop/Projects/Power BI/WOW/Parameter/"/>
    </mc:Choice>
  </mc:AlternateContent>
  <xr:revisionPtr revIDLastSave="3" documentId="11_B19C6F5718826FEEDB8BE807F781547671F4F69D" xr6:coauthVersionLast="47" xr6:coauthVersionMax="47" xr10:uidLastSave="{ADB2B911-7E95-40C1-A084-5A1B6ACAAB95}"/>
  <bookViews>
    <workbookView minimized="1" xWindow="3924" yWindow="696" windowWidth="17280" windowHeight="8880" xr2:uid="{00000000-000D-0000-FFFF-FFFF00000000}"/>
  </bookViews>
  <sheets>
    <sheet name="Sheet1" sheetId="5" r:id="rId1"/>
    <sheet name="Monthly Inventory" sheetId="1" r:id="rId2"/>
    <sheet name="Part Categories" sheetId="2" r:id="rId3"/>
    <sheet name="Supplier Performance" sheetId="3" r:id="rId4"/>
    <sheet name="Cost Analysis" sheetId="4" r:id="rId5"/>
  </sheets>
  <calcPr calcId="124519"/>
  <pivotCaches>
    <pivotCache cacheId="3" r:id="rId6"/>
  </pivotCaches>
</workbook>
</file>

<file path=xl/sharedStrings.xml><?xml version="1.0" encoding="utf-8"?>
<sst xmlns="http://schemas.openxmlformats.org/spreadsheetml/2006/main" count="248" uniqueCount="76">
  <si>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</si>
  <si>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</si>
  <si>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</si>
  <si>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</si>
  <si>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</si>
  <si>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</si>
  <si>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</si>
  <si>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</si>
  <si>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</si>
  <si>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</si>
  <si>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</si>
  <si>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</si>
  <si>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Engine Components</t>
  </si>
  <si>
    <t>Avionics</t>
  </si>
  <si>
    <t>Landing Gear</t>
  </si>
  <si>
    <t>Hydraulic Systems</t>
  </si>
  <si>
    <t>Electrical Systems</t>
  </si>
  <si>
    <t>Flight Controls</t>
  </si>
  <si>
    <t>Cabin Components</t>
  </si>
  <si>
    <t>Month</t>
  </si>
  <si>
    <t>Part Category</t>
  </si>
  <si>
    <t>Inventory Volume (Units)</t>
  </si>
  <si>
    <t>Stockout Incidents</t>
  </si>
  <si>
    <t>Inventory Value ($)</t>
  </si>
  <si>
    <t>Holding Cost ($)</t>
  </si>
  <si>
    <t>Stockout Cost ($)</t>
  </si>
  <si>
    <t>Fill Rate (%)</t>
  </si>
  <si>
    <t>Service Level (%)</t>
  </si>
  <si>
    <t>Category</t>
  </si>
  <si>
    <t>Jan Units</t>
  </si>
  <si>
    <t>Feb Units</t>
  </si>
  <si>
    <t>Mar Units</t>
  </si>
  <si>
    <t>Apr Units</t>
  </si>
  <si>
    <t>May Units</t>
  </si>
  <si>
    <t>Jun Units</t>
  </si>
  <si>
    <t>Jul Units</t>
  </si>
  <si>
    <t>Aug Units</t>
  </si>
  <si>
    <t>Sep Units</t>
  </si>
  <si>
    <t>Oct Units</t>
  </si>
  <si>
    <t>Nov Units</t>
  </si>
  <si>
    <t>Dec Units</t>
  </si>
  <si>
    <t>AeroTech Solutions</t>
  </si>
  <si>
    <t>Global Aviation Parts</t>
  </si>
  <si>
    <t>Precision Air Components</t>
  </si>
  <si>
    <t>SkyParts International</t>
  </si>
  <si>
    <t>Continental Aerospace</t>
  </si>
  <si>
    <t>Aviation Systems Corp</t>
  </si>
  <si>
    <t>AirSupply Direct</t>
  </si>
  <si>
    <t>Low</t>
  </si>
  <si>
    <t>Medium</t>
  </si>
  <si>
    <t>High</t>
  </si>
  <si>
    <t>Supplier</t>
  </si>
  <si>
    <t>Lead Time (Days)</t>
  </si>
  <si>
    <t>On-Time Delivery (%)</t>
  </si>
  <si>
    <t>Quality Rating (%)</t>
  </si>
  <si>
    <t>Annual Volume</t>
  </si>
  <si>
    <t>Stockout Impact</t>
  </si>
  <si>
    <t>Cost per Unit ($)</t>
  </si>
  <si>
    <t>Inventory Holding</t>
  </si>
  <si>
    <t>Stockout Costs</t>
  </si>
  <si>
    <t>Emergency Procurement</t>
  </si>
  <si>
    <t>Obsolescence</t>
  </si>
  <si>
    <t>Storage &amp; Handling</t>
  </si>
  <si>
    <t>Transportation</t>
  </si>
  <si>
    <t>Insurance</t>
  </si>
  <si>
    <t>Parts Procurement</t>
  </si>
  <si>
    <t>Cost Category</t>
  </si>
  <si>
    <t>Q1 Total ($)</t>
  </si>
  <si>
    <t>Q2 Total ($)</t>
  </si>
  <si>
    <t>Q3 Total ($)</t>
  </si>
  <si>
    <t>Q4 Total ($)</t>
  </si>
  <si>
    <t>Annual Total ($)</t>
  </si>
  <si>
    <t>% of Total</t>
  </si>
  <si>
    <t>Row Labels</t>
  </si>
  <si>
    <t>Grand Total</t>
  </si>
  <si>
    <t>Sum of Inventory Value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</si>
</sst>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 R S" refreshedDate="45980.788806365737" createdVersion="8" refreshedVersion="8" minRefreshableVersion="3" recordCount="84" xr:uid="{4B0C6F47-57A9-41D3-B49F-2FD4EB660BA6}">
  <cacheSource type="worksheet">
    <worksheetSource ref="A1:I85" sheet="Monthly Inventory"/>
  </cacheSource>
  <cacheFields count="9">
    <cacheField name="Month" numFmtId="0">
      <sharedItems count="12"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</sharedItems>
    </cacheField>
    <cacheField name="Part Category" numFmtId="0">
      <sharedItems/>
    </cacheField>
    <cacheField name="Inventory Volume (Units)" numFmtId="0">
      <sharedItems containsSemiMixedTypes="0" containsString="0" containsNumber="1" containsInteger="1" minValue="235" maxValue="775"/>
    </cacheField>
    <cacheField name="Stockout Incidents" numFmtId="0">
      <sharedItems containsSemiMixedTypes="0" containsString="0" containsNumber="1" containsInteger="1" minValue="0" maxValue="4"/>
    </cacheField>
    <cacheField name="Inventory Value ($)" numFmtId="0">
      <sharedItems containsSemiMixedTypes="0" containsString="0" containsNumber="1" containsInteger="1" minValue="705000" maxValue="2325000"/>
    </cacheField>
    <cacheField name="Holding Cost ($)" numFmtId="0">
      <sharedItems containsSemiMixedTypes="0" containsString="0" containsNumber="1" containsInteger="1" minValue="14100" maxValue="46500"/>
    </cacheField>
    <cacheField name="Stockout Cost ($)" numFmtId="0">
      <sharedItems containsSemiMixedTypes="0" containsString="0" containsNumber="1" containsInteger="1" minValue="0" maxValue="40000"/>
    </cacheField>
    <cacheField name="Fill Rate (%)" numFmtId="0">
      <sharedItems containsSemiMixedTypes="0" containsString="0" containsNumber="1" minValue="92.6" maxValue="100"/>
    </cacheField>
    <cacheField name="Service Level (%)" numFmtId="0">
      <sharedItems containsSemiMixedTypes="0" containsString="0" containsNumber="1" minValue="92.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s v="Engine Components"/>
    <n v="450"/>
    <n v="2"/>
    <n v="1350000"/>
    <n v="27000"/>
    <n v="20000"/>
    <n v="95.5"/>
    <n v="95.5"/>
  </r>
  <r>
    <x v="0"/>
    <s v="Avionics"/>
    <n v="680"/>
    <n v="3"/>
    <n v="2040000"/>
    <n v="40800"/>
    <n v="30000"/>
    <n v="94.8"/>
    <n v="94.8"/>
  </r>
  <r>
    <x v="0"/>
    <s v="Landing Gear"/>
    <n v="320"/>
    <n v="2"/>
    <n v="960000"/>
    <n v="19200"/>
    <n v="20000"/>
    <n v="93.8"/>
    <n v="93.8"/>
  </r>
  <r>
    <x v="0"/>
    <s v="Hydraulic Systems"/>
    <n v="280"/>
    <n v="1"/>
    <n v="840000"/>
    <n v="16800"/>
    <n v="10000"/>
    <n v="96.4"/>
    <n v="96.4"/>
  </r>
  <r>
    <x v="0"/>
    <s v="Electrical Systems"/>
    <n v="395"/>
    <n v="2"/>
    <n v="1185000"/>
    <n v="23700"/>
    <n v="20000"/>
    <n v="94.9"/>
    <n v="94.9"/>
  </r>
  <r>
    <x v="0"/>
    <s v="Flight Controls"/>
    <n v="245"/>
    <n v="1"/>
    <n v="735000"/>
    <n v="14700"/>
    <n v="10000"/>
    <n v="95.9"/>
    <n v="95.9"/>
  </r>
  <r>
    <x v="0"/>
    <s v="Cabin Components"/>
    <n v="480"/>
    <n v="1"/>
    <n v="1440000"/>
    <n v="28800"/>
    <n v="10000"/>
    <n v="97.9"/>
    <n v="97.9"/>
  </r>
  <r>
    <x v="1"/>
    <s v="Engine Components"/>
    <n v="465"/>
    <n v="1"/>
    <n v="1395000"/>
    <n v="27900"/>
    <n v="10000"/>
    <n v="97.8"/>
    <n v="97.8"/>
  </r>
  <r>
    <x v="1"/>
    <s v="Avionics"/>
    <n v="695"/>
    <n v="2"/>
    <n v="2085000"/>
    <n v="41700"/>
    <n v="20000"/>
    <n v="96.7"/>
    <n v="96.7"/>
  </r>
  <r>
    <x v="1"/>
    <s v="Landing Gear"/>
    <n v="330"/>
    <n v="1"/>
    <n v="990000"/>
    <n v="19800"/>
    <n v="10000"/>
    <n v="96.9"/>
    <n v="96.9"/>
  </r>
  <r>
    <x v="1"/>
    <s v="Hydraulic Systems"/>
    <n v="290"/>
    <n v="1"/>
    <n v="870000"/>
    <n v="17400"/>
    <n v="10000"/>
    <n v="96.5"/>
    <n v="96.5"/>
  </r>
  <r>
    <x v="1"/>
    <s v="Electrical Systems"/>
    <n v="405"/>
    <n v="2"/>
    <n v="1215000"/>
    <n v="24300"/>
    <n v="20000"/>
    <n v="95"/>
    <n v="95"/>
  </r>
  <r>
    <x v="1"/>
    <s v="Flight Controls"/>
    <n v="250"/>
    <n v="0"/>
    <n v="750000"/>
    <n v="15000"/>
    <n v="0"/>
    <n v="100"/>
    <n v="100"/>
  </r>
  <r>
    <x v="1"/>
    <s v="Cabin Components"/>
    <n v="485"/>
    <n v="1"/>
    <n v="1455000"/>
    <n v="29100"/>
    <n v="10000"/>
    <n v="97.9"/>
    <n v="97.9"/>
  </r>
  <r>
    <x v="2"/>
    <s v="Engine Components"/>
    <n v="440"/>
    <n v="3"/>
    <n v="1320000"/>
    <n v="26400"/>
    <n v="30000"/>
    <n v="93.2"/>
    <n v="93.2"/>
  </r>
  <r>
    <x v="2"/>
    <s v="Avionics"/>
    <n v="660"/>
    <n v="4"/>
    <n v="1980000"/>
    <n v="39600"/>
    <n v="40000"/>
    <n v="93.9"/>
    <n v="93.9"/>
  </r>
  <r>
    <x v="2"/>
    <s v="Landing Gear"/>
    <n v="310"/>
    <n v="2"/>
    <n v="930000"/>
    <n v="18600"/>
    <n v="20000"/>
    <n v="93.5"/>
    <n v="93.5"/>
  </r>
  <r>
    <x v="2"/>
    <s v="Hydraulic Systems"/>
    <n v="270"/>
    <n v="2"/>
    <n v="810000"/>
    <n v="16200"/>
    <n v="20000"/>
    <n v="92.6"/>
    <n v="92.6"/>
  </r>
  <r>
    <x v="2"/>
    <s v="Electrical Systems"/>
    <n v="385"/>
    <n v="2"/>
    <n v="1155000"/>
    <n v="23100"/>
    <n v="20000"/>
    <n v="94.8"/>
    <n v="94.8"/>
  </r>
  <r>
    <x v="2"/>
    <s v="Flight Controls"/>
    <n v="235"/>
    <n v="1"/>
    <n v="705000"/>
    <n v="14100"/>
    <n v="10000"/>
    <n v="95.7"/>
    <n v="95.7"/>
  </r>
  <r>
    <x v="2"/>
    <s v="Cabin Components"/>
    <n v="480"/>
    <n v="1"/>
    <n v="1440000"/>
    <n v="28800"/>
    <n v="10000"/>
    <n v="97.9"/>
    <n v="97.9"/>
  </r>
  <r>
    <x v="3"/>
    <s v="Engine Components"/>
    <n v="455"/>
    <n v="2"/>
    <n v="1365000"/>
    <n v="27300"/>
    <n v="20000"/>
    <n v="95.6"/>
    <n v="95.6"/>
  </r>
  <r>
    <x v="3"/>
    <s v="Avionics"/>
    <n v="675"/>
    <n v="2"/>
    <n v="2025000"/>
    <n v="40500"/>
    <n v="20000"/>
    <n v="96.9"/>
    <n v="96.9"/>
  </r>
  <r>
    <x v="3"/>
    <s v="Landing Gear"/>
    <n v="325"/>
    <n v="1"/>
    <n v="975000"/>
    <n v="19500"/>
    <n v="10000"/>
    <n v="96.9"/>
    <n v="96.9"/>
  </r>
  <r>
    <x v="3"/>
    <s v="Hydraulic Systems"/>
    <n v="285"/>
    <n v="1"/>
    <n v="855000"/>
    <n v="17100"/>
    <n v="10000"/>
    <n v="96.5"/>
    <n v="96.5"/>
  </r>
  <r>
    <x v="3"/>
    <s v="Electrical Systems"/>
    <n v="400"/>
    <n v="2"/>
    <n v="1200000"/>
    <n v="24000"/>
    <n v="20000"/>
    <n v="95"/>
    <n v="95"/>
  </r>
  <r>
    <x v="3"/>
    <s v="Flight Controls"/>
    <n v="245"/>
    <n v="1"/>
    <n v="735000"/>
    <n v="14700"/>
    <n v="10000"/>
    <n v="95.9"/>
    <n v="95.9"/>
  </r>
  <r>
    <x v="3"/>
    <s v="Cabin Components"/>
    <n v="465"/>
    <n v="1"/>
    <n v="1395000"/>
    <n v="27900"/>
    <n v="10000"/>
    <n v="97.8"/>
    <n v="97.8"/>
  </r>
  <r>
    <x v="4"/>
    <s v="Engine Components"/>
    <n v="490"/>
    <n v="1"/>
    <n v="1470000"/>
    <n v="29400"/>
    <n v="10000"/>
    <n v="97.9"/>
    <n v="97.9"/>
  </r>
  <r>
    <x v="4"/>
    <s v="Avionics"/>
    <n v="740"/>
    <n v="2"/>
    <n v="2220000"/>
    <n v="44400"/>
    <n v="20000"/>
    <n v="97.3"/>
    <n v="97.3"/>
  </r>
  <r>
    <x v="4"/>
    <s v="Landing Gear"/>
    <n v="350"/>
    <n v="1"/>
    <n v="1050000"/>
    <n v="21000"/>
    <n v="10000"/>
    <n v="97.1"/>
    <n v="97.1"/>
  </r>
  <r>
    <x v="4"/>
    <s v="Hydraulic Systems"/>
    <n v="310"/>
    <n v="0"/>
    <n v="930000"/>
    <n v="18600"/>
    <n v="0"/>
    <n v="100"/>
    <n v="100"/>
  </r>
  <r>
    <x v="4"/>
    <s v="Electrical Systems"/>
    <n v="435"/>
    <n v="1"/>
    <n v="1305000"/>
    <n v="26100"/>
    <n v="10000"/>
    <n v="97.7"/>
    <n v="97.7"/>
  </r>
  <r>
    <x v="4"/>
    <s v="Flight Controls"/>
    <n v="270"/>
    <n v="0"/>
    <n v="810000"/>
    <n v="16200"/>
    <n v="0"/>
    <n v="100"/>
    <n v="100"/>
  </r>
  <r>
    <x v="4"/>
    <s v="Cabin Components"/>
    <n v="505"/>
    <n v="1"/>
    <n v="1515000"/>
    <n v="30300"/>
    <n v="10000"/>
    <n v="97.9"/>
    <n v="97.9"/>
  </r>
  <r>
    <x v="5"/>
    <s v="Engine Components"/>
    <n v="480"/>
    <n v="2"/>
    <n v="1440000"/>
    <n v="28800"/>
    <n v="20000"/>
    <n v="95.8"/>
    <n v="95.8"/>
  </r>
  <r>
    <x v="5"/>
    <s v="Avionics"/>
    <n v="730"/>
    <n v="2"/>
    <n v="2190000"/>
    <n v="43800"/>
    <n v="20000"/>
    <n v="97.2"/>
    <n v="97.2"/>
  </r>
  <r>
    <x v="5"/>
    <s v="Landing Gear"/>
    <n v="345"/>
    <n v="1"/>
    <n v="1035000"/>
    <n v="20700"/>
    <n v="10000"/>
    <n v="97.1"/>
    <n v="97.1"/>
  </r>
  <r>
    <x v="5"/>
    <s v="Hydraulic Systems"/>
    <n v="305"/>
    <n v="1"/>
    <n v="915000"/>
    <n v="18300"/>
    <n v="10000"/>
    <n v="96.7"/>
    <n v="96.7"/>
  </r>
  <r>
    <x v="5"/>
    <s v="Electrical Systems"/>
    <n v="425"/>
    <n v="2"/>
    <n v="1275000"/>
    <n v="25500"/>
    <n v="20000"/>
    <n v="95.3"/>
    <n v="95.3"/>
  </r>
  <r>
    <x v="5"/>
    <s v="Flight Controls"/>
    <n v="265"/>
    <n v="0"/>
    <n v="795000"/>
    <n v="15900"/>
    <n v="0"/>
    <n v="100"/>
    <n v="100"/>
  </r>
  <r>
    <x v="5"/>
    <s v="Cabin Components"/>
    <n v="500"/>
    <n v="1"/>
    <n v="1500000"/>
    <n v="30000"/>
    <n v="10000"/>
    <n v="97.9"/>
    <n v="97.9"/>
  </r>
  <r>
    <x v="6"/>
    <s v="Engine Components"/>
    <n v="470"/>
    <n v="3"/>
    <n v="1410000"/>
    <n v="28200"/>
    <n v="30000"/>
    <n v="93.6"/>
    <n v="93.6"/>
  </r>
  <r>
    <x v="6"/>
    <s v="Avionics"/>
    <n v="705"/>
    <n v="3"/>
    <n v="2115000"/>
    <n v="42300"/>
    <n v="30000"/>
    <n v="95.7"/>
    <n v="95.7"/>
  </r>
  <r>
    <x v="6"/>
    <s v="Landing Gear"/>
    <n v="335"/>
    <n v="2"/>
    <n v="1005000"/>
    <n v="20100"/>
    <n v="20000"/>
    <n v="94"/>
    <n v="94"/>
  </r>
  <r>
    <x v="6"/>
    <s v="Hydraulic Systems"/>
    <n v="295"/>
    <n v="2"/>
    <n v="885000"/>
    <n v="17700"/>
    <n v="20000"/>
    <n v="93.2"/>
    <n v="93.2"/>
  </r>
  <r>
    <x v="6"/>
    <s v="Electrical Systems"/>
    <n v="410"/>
    <n v="2"/>
    <n v="1230000"/>
    <n v="24600"/>
    <n v="20000"/>
    <n v="95.1"/>
    <n v="95.1"/>
  </r>
  <r>
    <x v="6"/>
    <s v="Flight Controls"/>
    <n v="255"/>
    <n v="1"/>
    <n v="765000"/>
    <n v="15300"/>
    <n v="10000"/>
    <n v="96.1"/>
    <n v="96.1"/>
  </r>
  <r>
    <x v="6"/>
    <s v="Cabin Components"/>
    <n v="480"/>
    <n v="1"/>
    <n v="1440000"/>
    <n v="28800"/>
    <n v="10000"/>
    <n v="97.9"/>
    <n v="97.9"/>
  </r>
  <r>
    <x v="7"/>
    <s v="Engine Components"/>
    <n v="510"/>
    <n v="1"/>
    <n v="1530000"/>
    <n v="30600"/>
    <n v="10000"/>
    <n v="98"/>
    <n v="98"/>
  </r>
  <r>
    <x v="7"/>
    <s v="Avionics"/>
    <n v="760"/>
    <n v="1"/>
    <n v="2280000"/>
    <n v="45600"/>
    <n v="10000"/>
    <n v="98.6"/>
    <n v="98.6"/>
  </r>
  <r>
    <x v="7"/>
    <s v="Landing Gear"/>
    <n v="365"/>
    <n v="1"/>
    <n v="1095000"/>
    <n v="21900"/>
    <n v="10000"/>
    <n v="97.2"/>
    <n v="97.2"/>
  </r>
  <r>
    <x v="7"/>
    <s v="Hydraulic Systems"/>
    <n v="320"/>
    <n v="0"/>
    <n v="960000"/>
    <n v="19200"/>
    <n v="0"/>
    <n v="100"/>
    <n v="100"/>
  </r>
  <r>
    <x v="7"/>
    <s v="Electrical Systems"/>
    <n v="450"/>
    <n v="1"/>
    <n v="1350000"/>
    <n v="27000"/>
    <n v="10000"/>
    <n v="97.7"/>
    <n v="97.7"/>
  </r>
  <r>
    <x v="7"/>
    <s v="Flight Controls"/>
    <n v="280"/>
    <n v="0"/>
    <n v="840000"/>
    <n v="16800"/>
    <n v="0"/>
    <n v="100"/>
    <n v="100"/>
  </r>
  <r>
    <x v="7"/>
    <s v="Cabin Components"/>
    <n v="515"/>
    <n v="1"/>
    <n v="1545000"/>
    <n v="30900"/>
    <n v="10000"/>
    <n v="98"/>
    <n v="98"/>
  </r>
  <r>
    <x v="8"/>
    <s v="Engine Components"/>
    <n v="500"/>
    <n v="1"/>
    <n v="1500000"/>
    <n v="30000"/>
    <n v="10000"/>
    <n v="98"/>
    <n v="98"/>
  </r>
  <r>
    <x v="8"/>
    <s v="Avionics"/>
    <n v="750"/>
    <n v="2"/>
    <n v="2250000"/>
    <n v="45000"/>
    <n v="20000"/>
    <n v="97.3"/>
    <n v="97.3"/>
  </r>
  <r>
    <x v="8"/>
    <s v="Landing Gear"/>
    <n v="360"/>
    <n v="1"/>
    <n v="1080000"/>
    <n v="21600"/>
    <n v="10000"/>
    <n v="97.2"/>
    <n v="97.2"/>
  </r>
  <r>
    <x v="8"/>
    <s v="Hydraulic Systems"/>
    <n v="315"/>
    <n v="1"/>
    <n v="945000"/>
    <n v="18900"/>
    <n v="10000"/>
    <n v="96.8"/>
    <n v="96.8"/>
  </r>
  <r>
    <x v="8"/>
    <s v="Electrical Systems"/>
    <n v="440"/>
    <n v="1"/>
    <n v="1320000"/>
    <n v="26400"/>
    <n v="10000"/>
    <n v="97.7"/>
    <n v="97.7"/>
  </r>
  <r>
    <x v="8"/>
    <s v="Flight Controls"/>
    <n v="275"/>
    <n v="0"/>
    <n v="825000"/>
    <n v="16500"/>
    <n v="0"/>
    <n v="100"/>
    <n v="100"/>
  </r>
  <r>
    <x v="8"/>
    <s v="Cabin Components"/>
    <n v="510"/>
    <n v="1"/>
    <n v="1530000"/>
    <n v="30600"/>
    <n v="10000"/>
    <n v="98"/>
    <n v="98"/>
  </r>
  <r>
    <x v="9"/>
    <s v="Engine Components"/>
    <n v="460"/>
    <n v="2"/>
    <n v="1380000"/>
    <n v="27600"/>
    <n v="20000"/>
    <n v="95.6"/>
    <n v="95.6"/>
  </r>
  <r>
    <x v="9"/>
    <s v="Avionics"/>
    <n v="690"/>
    <n v="3"/>
    <n v="2070000"/>
    <n v="41400"/>
    <n v="30000"/>
    <n v="95.6"/>
    <n v="95.6"/>
  </r>
  <r>
    <x v="9"/>
    <s v="Landing Gear"/>
    <n v="330"/>
    <n v="2"/>
    <n v="990000"/>
    <n v="19800"/>
    <n v="20000"/>
    <n v="93.9"/>
    <n v="93.9"/>
  </r>
  <r>
    <x v="9"/>
    <s v="Hydraulic Systems"/>
    <n v="290"/>
    <n v="1"/>
    <n v="870000"/>
    <n v="17400"/>
    <n v="10000"/>
    <n v="96.5"/>
    <n v="96.5"/>
  </r>
  <r>
    <x v="9"/>
    <s v="Electrical Systems"/>
    <n v="405"/>
    <n v="2"/>
    <n v="1215000"/>
    <n v="24300"/>
    <n v="20000"/>
    <n v="95"/>
    <n v="95"/>
  </r>
  <r>
    <x v="9"/>
    <s v="Flight Controls"/>
    <n v="250"/>
    <n v="0"/>
    <n v="750000"/>
    <n v="15000"/>
    <n v="0"/>
    <n v="100"/>
    <n v="100"/>
  </r>
  <r>
    <x v="9"/>
    <s v="Cabin Components"/>
    <n v="475"/>
    <n v="1"/>
    <n v="1425000"/>
    <n v="28500"/>
    <n v="10000"/>
    <n v="97.9"/>
    <n v="97.9"/>
  </r>
  <r>
    <x v="10"/>
    <s v="Engine Components"/>
    <n v="485"/>
    <n v="1"/>
    <n v="1455000"/>
    <n v="29100"/>
    <n v="10000"/>
    <n v="97.9"/>
    <n v="97.9"/>
  </r>
  <r>
    <x v="10"/>
    <s v="Avionics"/>
    <n v="735"/>
    <n v="2"/>
    <n v="2205000"/>
    <n v="44100"/>
    <n v="20000"/>
    <n v="97.3"/>
    <n v="97.3"/>
  </r>
  <r>
    <x v="10"/>
    <s v="Landing Gear"/>
    <n v="350"/>
    <n v="1"/>
    <n v="1050000"/>
    <n v="21000"/>
    <n v="10000"/>
    <n v="97.1"/>
    <n v="97.1"/>
  </r>
  <r>
    <x v="10"/>
    <s v="Hydraulic Systems"/>
    <n v="308"/>
    <n v="1"/>
    <n v="924000"/>
    <n v="18480"/>
    <n v="10000"/>
    <n v="96.7"/>
    <n v="96.7"/>
  </r>
  <r>
    <x v="10"/>
    <s v="Electrical Systems"/>
    <n v="430"/>
    <n v="2"/>
    <n v="1290000"/>
    <n v="25800"/>
    <n v="20000"/>
    <n v="95.3"/>
    <n v="95.3"/>
  </r>
  <r>
    <x v="10"/>
    <s v="Flight Controls"/>
    <n v="267"/>
    <n v="0"/>
    <n v="801000"/>
    <n v="16020"/>
    <n v="0"/>
    <n v="100"/>
    <n v="100"/>
  </r>
  <r>
    <x v="10"/>
    <s v="Cabin Components"/>
    <n v="505"/>
    <n v="1"/>
    <n v="1515000"/>
    <n v="30300"/>
    <n v="10000"/>
    <n v="97.9"/>
    <n v="97.9"/>
  </r>
  <r>
    <x v="11"/>
    <s v="Engine Components"/>
    <n v="520"/>
    <n v="1"/>
    <n v="1560000"/>
    <n v="31200"/>
    <n v="10000"/>
    <n v="98"/>
    <n v="98"/>
  </r>
  <r>
    <x v="11"/>
    <s v="Avionics"/>
    <n v="775"/>
    <n v="1"/>
    <n v="2325000"/>
    <n v="46500"/>
    <n v="10000"/>
    <n v="98.7"/>
    <n v="98.7"/>
  </r>
  <r>
    <x v="11"/>
    <s v="Landing Gear"/>
    <n v="375"/>
    <n v="0"/>
    <n v="1125000"/>
    <n v="22500"/>
    <n v="0"/>
    <n v="100"/>
    <n v="100"/>
  </r>
  <r>
    <x v="11"/>
    <s v="Hydraulic Systems"/>
    <n v="330"/>
    <n v="0"/>
    <n v="990000"/>
    <n v="19800"/>
    <n v="0"/>
    <n v="100"/>
    <n v="100"/>
  </r>
  <r>
    <x v="11"/>
    <s v="Electrical Systems"/>
    <n v="460"/>
    <n v="1"/>
    <n v="1380000"/>
    <n v="27600"/>
    <n v="10000"/>
    <n v="97.8"/>
    <n v="97.8"/>
  </r>
  <r>
    <x v="11"/>
    <s v="Flight Controls"/>
    <n v="285"/>
    <n v="0"/>
    <n v="855000"/>
    <n v="17100"/>
    <n v="0"/>
    <n v="100"/>
    <n v="100"/>
  </r>
  <r>
    <x v="11"/>
    <s v="Cabin Components"/>
    <n v="505"/>
    <n v="1"/>
    <n v="1515000"/>
    <n v="30300"/>
    <n v="10000"/>
    <n v="98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7B6A8-9706-4F7D-B735-448E4D1530F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9">
    <pivotField axis="axisRow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Inventory Value ($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4E88-5DBD-4305-953A-AD3C822A722C}">
  <dimension ref="A3:B16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4" bestFit="1" customWidth="1"/>
  </cols>
  <sheetData>
    <row r="3" spans="1:2" x14ac:dyDescent="0.3">
      <c r="A3" s="1" t="s">
        <v>73</v>
      </c>
      <c r="B3" t="s">
        <v>75</v>
      </c>
    </row>
    <row r="4" spans="1:2" x14ac:dyDescent="0.3">
      <c r="A4" s="2" t="s">
        <v>3</v>
      </c>
      <c r="B4" s="3">
        <v>8550000</v>
      </c>
    </row>
    <row r="5" spans="1:2" x14ac:dyDescent="0.3">
      <c r="A5" s="2" t="s">
        <v>7</v>
      </c>
      <c r="B5" s="3">
        <v>9600000</v>
      </c>
    </row>
    <row r="6" spans="1:2" x14ac:dyDescent="0.3">
      <c r="A6" s="2" t="s">
        <v>11</v>
      </c>
      <c r="B6" s="3">
        <v>9750000</v>
      </c>
    </row>
    <row r="7" spans="1:2" x14ac:dyDescent="0.3">
      <c r="A7" s="2" t="s">
        <v>1</v>
      </c>
      <c r="B7" s="3">
        <v>8760000</v>
      </c>
    </row>
    <row r="8" spans="1:2" x14ac:dyDescent="0.3">
      <c r="A8" s="2" t="s">
        <v>0</v>
      </c>
      <c r="B8" s="3">
        <v>8550000</v>
      </c>
    </row>
    <row r="9" spans="1:2" x14ac:dyDescent="0.3">
      <c r="A9" s="2" t="s">
        <v>6</v>
      </c>
      <c r="B9" s="3">
        <v>8850000</v>
      </c>
    </row>
    <row r="10" spans="1:2" x14ac:dyDescent="0.3">
      <c r="A10" s="2" t="s">
        <v>5</v>
      </c>
      <c r="B10" s="3">
        <v>9150000</v>
      </c>
    </row>
    <row r="11" spans="1:2" x14ac:dyDescent="0.3">
      <c r="A11" s="2" t="s">
        <v>2</v>
      </c>
      <c r="B11" s="3">
        <v>8340000</v>
      </c>
    </row>
    <row r="12" spans="1:2" x14ac:dyDescent="0.3">
      <c r="A12" s="2" t="s">
        <v>4</v>
      </c>
      <c r="B12" s="3">
        <v>9300000</v>
      </c>
    </row>
    <row r="13" spans="1:2" x14ac:dyDescent="0.3">
      <c r="A13" s="2" t="s">
        <v>10</v>
      </c>
      <c r="B13" s="3">
        <v>9240000</v>
      </c>
    </row>
    <row r="14" spans="1:2" x14ac:dyDescent="0.3">
      <c r="A14" s="2" t="s">
        <v>9</v>
      </c>
      <c r="B14" s="3">
        <v>8700000</v>
      </c>
    </row>
    <row r="15" spans="1:2" x14ac:dyDescent="0.3">
      <c r="A15" s="2" t="s">
        <v>8</v>
      </c>
      <c r="B15" s="3">
        <v>9450000</v>
      </c>
    </row>
    <row r="16" spans="1:2" x14ac:dyDescent="0.3">
      <c r="A16" s="2" t="s">
        <v>74</v>
      </c>
      <c r="B16" s="3">
        <v>108240000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workbookViewId="0">
      <selection activeCell="C8" sqref="C8"/>
    </sheetView>
  </sheetViews>
  <sheetFormatPr defaultRowHeight="14.4" x14ac:dyDescent="0.3"/>
  <cols>
    <col min="1" max="1" width="10.6640625" customWidth="1"/>
    <col min="2" max="2" width="20.6640625" customWidth="1"/>
    <col min="3" max="3" width="26.6640625" customWidth="1"/>
    <col min="4" max="4" width="20.6640625" customWidth="1"/>
    <col min="5" max="5" width="21.6640625" customWidth="1"/>
    <col min="6" max="6" width="18.6640625" customWidth="1"/>
    <col min="7" max="7" width="19.6640625" customWidth="1"/>
    <col min="8" max="8" width="15.6640625" customWidth="1"/>
    <col min="9" max="9" width="19.6640625" customWidth="1"/>
  </cols>
  <sheetData>
    <row r="1" spans="1:9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3">
      <c r="A2" t="s">
        <v>0</v>
      </c>
      <c r="B2" t="s">
        <v>12</v>
      </c>
      <c r="C2">
        <v>450</v>
      </c>
      <c r="D2">
        <v>2</v>
      </c>
      <c r="E2">
        <v>1350000</v>
      </c>
      <c r="F2">
        <v>27000</v>
      </c>
      <c r="G2">
        <v>20000</v>
      </c>
      <c r="H2">
        <v>95.5</v>
      </c>
      <c r="I2">
        <v>95.5</v>
      </c>
    </row>
    <row r="3" spans="1:9" x14ac:dyDescent="0.3">
      <c r="A3" t="s">
        <v>0</v>
      </c>
      <c r="B3" t="s">
        <v>13</v>
      </c>
      <c r="C3">
        <v>680</v>
      </c>
      <c r="D3">
        <v>3</v>
      </c>
      <c r="E3">
        <v>2040000</v>
      </c>
      <c r="F3">
        <v>40800</v>
      </c>
      <c r="G3">
        <v>30000</v>
      </c>
      <c r="H3">
        <v>94.8</v>
      </c>
      <c r="I3">
        <v>94.8</v>
      </c>
    </row>
    <row r="4" spans="1:9" x14ac:dyDescent="0.3">
      <c r="A4" t="s">
        <v>0</v>
      </c>
      <c r="B4" t="s">
        <v>14</v>
      </c>
      <c r="C4">
        <v>320</v>
      </c>
      <c r="D4">
        <v>2</v>
      </c>
      <c r="E4">
        <v>960000</v>
      </c>
      <c r="F4">
        <v>19200</v>
      </c>
      <c r="G4">
        <v>20000</v>
      </c>
      <c r="H4">
        <v>93.8</v>
      </c>
      <c r="I4">
        <v>93.8</v>
      </c>
    </row>
    <row r="5" spans="1:9" x14ac:dyDescent="0.3">
      <c r="A5" t="s">
        <v>0</v>
      </c>
      <c r="B5" t="s">
        <v>15</v>
      </c>
      <c r="C5">
        <v>280</v>
      </c>
      <c r="D5">
        <v>1</v>
      </c>
      <c r="E5">
        <v>840000</v>
      </c>
      <c r="F5">
        <v>16800</v>
      </c>
      <c r="G5">
        <v>10000</v>
      </c>
      <c r="H5">
        <v>96.4</v>
      </c>
      <c r="I5">
        <v>96.4</v>
      </c>
    </row>
    <row r="6" spans="1:9" x14ac:dyDescent="0.3">
      <c r="A6" t="s">
        <v>0</v>
      </c>
      <c r="B6" t="s">
        <v>16</v>
      </c>
      <c r="C6">
        <v>395</v>
      </c>
      <c r="D6">
        <v>2</v>
      </c>
      <c r="E6">
        <v>1185000</v>
      </c>
      <c r="F6">
        <v>23700</v>
      </c>
      <c r="G6">
        <v>20000</v>
      </c>
      <c r="H6">
        <v>94.9</v>
      </c>
      <c r="I6">
        <v>94.9</v>
      </c>
    </row>
    <row r="7" spans="1:9" x14ac:dyDescent="0.3">
      <c r="A7" t="s">
        <v>0</v>
      </c>
      <c r="B7" t="s">
        <v>17</v>
      </c>
      <c r="C7">
        <v>245</v>
      </c>
      <c r="D7">
        <v>1</v>
      </c>
      <c r="E7">
        <v>735000</v>
      </c>
      <c r="F7">
        <v>14700</v>
      </c>
      <c r="G7">
        <v>10000</v>
      </c>
      <c r="H7">
        <v>95.9</v>
      </c>
      <c r="I7">
        <v>95.9</v>
      </c>
    </row>
    <row r="8" spans="1:9" x14ac:dyDescent="0.3">
      <c r="A8" t="s">
        <v>0</v>
      </c>
      <c r="B8" t="s">
        <v>18</v>
      </c>
      <c r="C8">
        <v>480</v>
      </c>
      <c r="D8">
        <v>1</v>
      </c>
      <c r="E8">
        <v>1440000</v>
      </c>
      <c r="F8">
        <v>28800</v>
      </c>
      <c r="G8">
        <v>10000</v>
      </c>
      <c r="H8">
        <v>97.9</v>
      </c>
      <c r="I8">
        <v>97.9</v>
      </c>
    </row>
    <row r="9" spans="1:9" x14ac:dyDescent="0.3">
      <c r="A9" t="s">
        <v>1</v>
      </c>
      <c r="B9" t="s">
        <v>12</v>
      </c>
      <c r="C9">
        <v>465</v>
      </c>
      <c r="D9">
        <v>1</v>
      </c>
      <c r="E9">
        <v>1395000</v>
      </c>
      <c r="F9">
        <v>27900</v>
      </c>
      <c r="G9">
        <v>10000</v>
      </c>
      <c r="H9">
        <v>97.8</v>
      </c>
      <c r="I9">
        <v>97.8</v>
      </c>
    </row>
    <row r="10" spans="1:9" x14ac:dyDescent="0.3">
      <c r="A10" t="s">
        <v>1</v>
      </c>
      <c r="B10" t="s">
        <v>13</v>
      </c>
      <c r="C10">
        <v>695</v>
      </c>
      <c r="D10">
        <v>2</v>
      </c>
      <c r="E10">
        <v>2085000</v>
      </c>
      <c r="F10">
        <v>41700</v>
      </c>
      <c r="G10">
        <v>20000</v>
      </c>
      <c r="H10">
        <v>96.7</v>
      </c>
      <c r="I10">
        <v>96.7</v>
      </c>
    </row>
    <row r="11" spans="1:9" x14ac:dyDescent="0.3">
      <c r="A11" t="s">
        <v>1</v>
      </c>
      <c r="B11" t="s">
        <v>14</v>
      </c>
      <c r="C11">
        <v>330</v>
      </c>
      <c r="D11">
        <v>1</v>
      </c>
      <c r="E11">
        <v>990000</v>
      </c>
      <c r="F11">
        <v>19800</v>
      </c>
      <c r="G11">
        <v>10000</v>
      </c>
      <c r="H11">
        <v>96.9</v>
      </c>
      <c r="I11">
        <v>96.9</v>
      </c>
    </row>
    <row r="12" spans="1:9" x14ac:dyDescent="0.3">
      <c r="A12" t="s">
        <v>1</v>
      </c>
      <c r="B12" t="s">
        <v>15</v>
      </c>
      <c r="C12">
        <v>290</v>
      </c>
      <c r="D12">
        <v>1</v>
      </c>
      <c r="E12">
        <v>870000</v>
      </c>
      <c r="F12">
        <v>17400</v>
      </c>
      <c r="G12">
        <v>10000</v>
      </c>
      <c r="H12">
        <v>96.5</v>
      </c>
      <c r="I12">
        <v>96.5</v>
      </c>
    </row>
    <row r="13" spans="1:9" x14ac:dyDescent="0.3">
      <c r="A13" t="s">
        <v>1</v>
      </c>
      <c r="B13" t="s">
        <v>16</v>
      </c>
      <c r="C13">
        <v>405</v>
      </c>
      <c r="D13">
        <v>2</v>
      </c>
      <c r="E13">
        <v>1215000</v>
      </c>
      <c r="F13">
        <v>24300</v>
      </c>
      <c r="G13">
        <v>20000</v>
      </c>
      <c r="H13">
        <v>95</v>
      </c>
      <c r="I13">
        <v>95</v>
      </c>
    </row>
    <row r="14" spans="1:9" x14ac:dyDescent="0.3">
      <c r="A14" t="s">
        <v>1</v>
      </c>
      <c r="B14" t="s">
        <v>17</v>
      </c>
      <c r="C14">
        <v>250</v>
      </c>
      <c r="D14">
        <v>0</v>
      </c>
      <c r="E14">
        <v>750000</v>
      </c>
      <c r="F14">
        <v>15000</v>
      </c>
      <c r="G14">
        <v>0</v>
      </c>
      <c r="H14">
        <v>100</v>
      </c>
      <c r="I14">
        <v>100</v>
      </c>
    </row>
    <row r="15" spans="1:9" x14ac:dyDescent="0.3">
      <c r="A15" t="s">
        <v>1</v>
      </c>
      <c r="B15" t="s">
        <v>18</v>
      </c>
      <c r="C15">
        <v>485</v>
      </c>
      <c r="D15">
        <v>1</v>
      </c>
      <c r="E15">
        <v>1455000</v>
      </c>
      <c r="F15">
        <v>29100</v>
      </c>
      <c r="G15">
        <v>10000</v>
      </c>
      <c r="H15">
        <v>97.9</v>
      </c>
      <c r="I15">
        <v>97.9</v>
      </c>
    </row>
    <row r="16" spans="1:9" x14ac:dyDescent="0.3">
      <c r="A16" t="s">
        <v>2</v>
      </c>
      <c r="B16" t="s">
        <v>12</v>
      </c>
      <c r="C16">
        <v>440</v>
      </c>
      <c r="D16">
        <v>3</v>
      </c>
      <c r="E16">
        <v>1320000</v>
      </c>
      <c r="F16">
        <v>26400</v>
      </c>
      <c r="G16">
        <v>30000</v>
      </c>
      <c r="H16">
        <v>93.2</v>
      </c>
      <c r="I16">
        <v>93.2</v>
      </c>
    </row>
    <row r="17" spans="1:9" x14ac:dyDescent="0.3">
      <c r="A17" t="s">
        <v>2</v>
      </c>
      <c r="B17" t="s">
        <v>13</v>
      </c>
      <c r="C17">
        <v>660</v>
      </c>
      <c r="D17">
        <v>4</v>
      </c>
      <c r="E17">
        <v>1980000</v>
      </c>
      <c r="F17">
        <v>39600</v>
      </c>
      <c r="G17">
        <v>40000</v>
      </c>
      <c r="H17">
        <v>93.9</v>
      </c>
      <c r="I17">
        <v>93.9</v>
      </c>
    </row>
    <row r="18" spans="1:9" x14ac:dyDescent="0.3">
      <c r="A18" t="s">
        <v>2</v>
      </c>
      <c r="B18" t="s">
        <v>14</v>
      </c>
      <c r="C18">
        <v>310</v>
      </c>
      <c r="D18">
        <v>2</v>
      </c>
      <c r="E18">
        <v>930000</v>
      </c>
      <c r="F18">
        <v>18600</v>
      </c>
      <c r="G18">
        <v>20000</v>
      </c>
      <c r="H18">
        <v>93.5</v>
      </c>
      <c r="I18">
        <v>93.5</v>
      </c>
    </row>
    <row r="19" spans="1:9" x14ac:dyDescent="0.3">
      <c r="A19" t="s">
        <v>2</v>
      </c>
      <c r="B19" t="s">
        <v>15</v>
      </c>
      <c r="C19">
        <v>270</v>
      </c>
      <c r="D19">
        <v>2</v>
      </c>
      <c r="E19">
        <v>810000</v>
      </c>
      <c r="F19">
        <v>16200</v>
      </c>
      <c r="G19">
        <v>20000</v>
      </c>
      <c r="H19">
        <v>92.6</v>
      </c>
      <c r="I19">
        <v>92.6</v>
      </c>
    </row>
    <row r="20" spans="1:9" x14ac:dyDescent="0.3">
      <c r="A20" t="s">
        <v>2</v>
      </c>
      <c r="B20" t="s">
        <v>16</v>
      </c>
      <c r="C20">
        <v>385</v>
      </c>
      <c r="D20">
        <v>2</v>
      </c>
      <c r="E20">
        <v>1155000</v>
      </c>
      <c r="F20">
        <v>23100</v>
      </c>
      <c r="G20">
        <v>20000</v>
      </c>
      <c r="H20">
        <v>94.8</v>
      </c>
      <c r="I20">
        <v>94.8</v>
      </c>
    </row>
    <row r="21" spans="1:9" x14ac:dyDescent="0.3">
      <c r="A21" t="s">
        <v>2</v>
      </c>
      <c r="B21" t="s">
        <v>17</v>
      </c>
      <c r="C21">
        <v>235</v>
      </c>
      <c r="D21">
        <v>1</v>
      </c>
      <c r="E21">
        <v>705000</v>
      </c>
      <c r="F21">
        <v>14100</v>
      </c>
      <c r="G21">
        <v>10000</v>
      </c>
      <c r="H21">
        <v>95.7</v>
      </c>
      <c r="I21">
        <v>95.7</v>
      </c>
    </row>
    <row r="22" spans="1:9" x14ac:dyDescent="0.3">
      <c r="A22" t="s">
        <v>2</v>
      </c>
      <c r="B22" t="s">
        <v>18</v>
      </c>
      <c r="C22">
        <v>480</v>
      </c>
      <c r="D22">
        <v>1</v>
      </c>
      <c r="E22">
        <v>1440000</v>
      </c>
      <c r="F22">
        <v>28800</v>
      </c>
      <c r="G22">
        <v>10000</v>
      </c>
      <c r="H22">
        <v>97.9</v>
      </c>
      <c r="I22">
        <v>97.9</v>
      </c>
    </row>
    <row r="23" spans="1:9" x14ac:dyDescent="0.3">
      <c r="A23" t="s">
        <v>3</v>
      </c>
      <c r="B23" t="s">
        <v>12</v>
      </c>
      <c r="C23">
        <v>455</v>
      </c>
      <c r="D23">
        <v>2</v>
      </c>
      <c r="E23">
        <v>1365000</v>
      </c>
      <c r="F23">
        <v>27300</v>
      </c>
      <c r="G23">
        <v>20000</v>
      </c>
      <c r="H23">
        <v>95.6</v>
      </c>
      <c r="I23">
        <v>95.6</v>
      </c>
    </row>
    <row r="24" spans="1:9" x14ac:dyDescent="0.3">
      <c r="A24" t="s">
        <v>3</v>
      </c>
      <c r="B24" t="s">
        <v>13</v>
      </c>
      <c r="C24">
        <v>675</v>
      </c>
      <c r="D24">
        <v>2</v>
      </c>
      <c r="E24">
        <v>2025000</v>
      </c>
      <c r="F24">
        <v>40500</v>
      </c>
      <c r="G24">
        <v>20000</v>
      </c>
      <c r="H24">
        <v>96.9</v>
      </c>
      <c r="I24">
        <v>96.9</v>
      </c>
    </row>
    <row r="25" spans="1:9" x14ac:dyDescent="0.3">
      <c r="A25" t="s">
        <v>3</v>
      </c>
      <c r="B25" t="s">
        <v>14</v>
      </c>
      <c r="C25">
        <v>325</v>
      </c>
      <c r="D25">
        <v>1</v>
      </c>
      <c r="E25">
        <v>975000</v>
      </c>
      <c r="F25">
        <v>19500</v>
      </c>
      <c r="G25">
        <v>10000</v>
      </c>
      <c r="H25">
        <v>96.9</v>
      </c>
      <c r="I25">
        <v>96.9</v>
      </c>
    </row>
    <row r="26" spans="1:9" x14ac:dyDescent="0.3">
      <c r="A26" t="s">
        <v>3</v>
      </c>
      <c r="B26" t="s">
        <v>15</v>
      </c>
      <c r="C26">
        <v>285</v>
      </c>
      <c r="D26">
        <v>1</v>
      </c>
      <c r="E26">
        <v>855000</v>
      </c>
      <c r="F26">
        <v>17100</v>
      </c>
      <c r="G26">
        <v>10000</v>
      </c>
      <c r="H26">
        <v>96.5</v>
      </c>
      <c r="I26">
        <v>96.5</v>
      </c>
    </row>
    <row r="27" spans="1:9" x14ac:dyDescent="0.3">
      <c r="A27" t="s">
        <v>3</v>
      </c>
      <c r="B27" t="s">
        <v>16</v>
      </c>
      <c r="C27">
        <v>400</v>
      </c>
      <c r="D27">
        <v>2</v>
      </c>
      <c r="E27">
        <v>1200000</v>
      </c>
      <c r="F27">
        <v>24000</v>
      </c>
      <c r="G27">
        <v>20000</v>
      </c>
      <c r="H27">
        <v>95</v>
      </c>
      <c r="I27">
        <v>95</v>
      </c>
    </row>
    <row r="28" spans="1:9" x14ac:dyDescent="0.3">
      <c r="A28" t="s">
        <v>3</v>
      </c>
      <c r="B28" t="s">
        <v>17</v>
      </c>
      <c r="C28">
        <v>245</v>
      </c>
      <c r="D28">
        <v>1</v>
      </c>
      <c r="E28">
        <v>735000</v>
      </c>
      <c r="F28">
        <v>14700</v>
      </c>
      <c r="G28">
        <v>10000</v>
      </c>
      <c r="H28">
        <v>95.9</v>
      </c>
      <c r="I28">
        <v>95.9</v>
      </c>
    </row>
    <row r="29" spans="1:9" x14ac:dyDescent="0.3">
      <c r="A29" t="s">
        <v>3</v>
      </c>
      <c r="B29" t="s">
        <v>18</v>
      </c>
      <c r="C29">
        <v>465</v>
      </c>
      <c r="D29">
        <v>1</v>
      </c>
      <c r="E29">
        <v>1395000</v>
      </c>
      <c r="F29">
        <v>27900</v>
      </c>
      <c r="G29">
        <v>10000</v>
      </c>
      <c r="H29">
        <v>97.8</v>
      </c>
      <c r="I29">
        <v>97.8</v>
      </c>
    </row>
    <row r="30" spans="1:9" x14ac:dyDescent="0.3">
      <c r="A30" t="s">
        <v>4</v>
      </c>
      <c r="B30" t="s">
        <v>12</v>
      </c>
      <c r="C30">
        <v>490</v>
      </c>
      <c r="D30">
        <v>1</v>
      </c>
      <c r="E30">
        <v>1470000</v>
      </c>
      <c r="F30">
        <v>29400</v>
      </c>
      <c r="G30">
        <v>10000</v>
      </c>
      <c r="H30">
        <v>97.9</v>
      </c>
      <c r="I30">
        <v>97.9</v>
      </c>
    </row>
    <row r="31" spans="1:9" x14ac:dyDescent="0.3">
      <c r="A31" t="s">
        <v>4</v>
      </c>
      <c r="B31" t="s">
        <v>13</v>
      </c>
      <c r="C31">
        <v>740</v>
      </c>
      <c r="D31">
        <v>2</v>
      </c>
      <c r="E31">
        <v>2220000</v>
      </c>
      <c r="F31">
        <v>44400</v>
      </c>
      <c r="G31">
        <v>20000</v>
      </c>
      <c r="H31">
        <v>97.3</v>
      </c>
      <c r="I31">
        <v>97.3</v>
      </c>
    </row>
    <row r="32" spans="1:9" x14ac:dyDescent="0.3">
      <c r="A32" t="s">
        <v>4</v>
      </c>
      <c r="B32" t="s">
        <v>14</v>
      </c>
      <c r="C32">
        <v>350</v>
      </c>
      <c r="D32">
        <v>1</v>
      </c>
      <c r="E32">
        <v>1050000</v>
      </c>
      <c r="F32">
        <v>21000</v>
      </c>
      <c r="G32">
        <v>10000</v>
      </c>
      <c r="H32">
        <v>97.1</v>
      </c>
      <c r="I32">
        <v>97.1</v>
      </c>
    </row>
    <row r="33" spans="1:9" x14ac:dyDescent="0.3">
      <c r="A33" t="s">
        <v>4</v>
      </c>
      <c r="B33" t="s">
        <v>15</v>
      </c>
      <c r="C33">
        <v>310</v>
      </c>
      <c r="D33">
        <v>0</v>
      </c>
      <c r="E33">
        <v>930000</v>
      </c>
      <c r="F33">
        <v>18600</v>
      </c>
      <c r="G33">
        <v>0</v>
      </c>
      <c r="H33">
        <v>100</v>
      </c>
      <c r="I33">
        <v>100</v>
      </c>
    </row>
    <row r="34" spans="1:9" x14ac:dyDescent="0.3">
      <c r="A34" t="s">
        <v>4</v>
      </c>
      <c r="B34" t="s">
        <v>16</v>
      </c>
      <c r="C34">
        <v>435</v>
      </c>
      <c r="D34">
        <v>1</v>
      </c>
      <c r="E34">
        <v>1305000</v>
      </c>
      <c r="F34">
        <v>26100</v>
      </c>
      <c r="G34">
        <v>10000</v>
      </c>
      <c r="H34">
        <v>97.7</v>
      </c>
      <c r="I34">
        <v>97.7</v>
      </c>
    </row>
    <row r="35" spans="1:9" x14ac:dyDescent="0.3">
      <c r="A35" t="s">
        <v>4</v>
      </c>
      <c r="B35" t="s">
        <v>17</v>
      </c>
      <c r="C35">
        <v>270</v>
      </c>
      <c r="D35">
        <v>0</v>
      </c>
      <c r="E35">
        <v>810000</v>
      </c>
      <c r="F35">
        <v>16200</v>
      </c>
      <c r="G35">
        <v>0</v>
      </c>
      <c r="H35">
        <v>100</v>
      </c>
      <c r="I35">
        <v>100</v>
      </c>
    </row>
    <row r="36" spans="1:9" x14ac:dyDescent="0.3">
      <c r="A36" t="s">
        <v>4</v>
      </c>
      <c r="B36" t="s">
        <v>18</v>
      </c>
      <c r="C36">
        <v>505</v>
      </c>
      <c r="D36">
        <v>1</v>
      </c>
      <c r="E36">
        <v>1515000</v>
      </c>
      <c r="F36">
        <v>30300</v>
      </c>
      <c r="G36">
        <v>10000</v>
      </c>
      <c r="H36">
        <v>97.9</v>
      </c>
      <c r="I36">
        <v>97.9</v>
      </c>
    </row>
    <row r="37" spans="1:9" x14ac:dyDescent="0.3">
      <c r="A37" t="s">
        <v>5</v>
      </c>
      <c r="B37" t="s">
        <v>12</v>
      </c>
      <c r="C37">
        <v>480</v>
      </c>
      <c r="D37">
        <v>2</v>
      </c>
      <c r="E37">
        <v>1440000</v>
      </c>
      <c r="F37">
        <v>28800</v>
      </c>
      <c r="G37">
        <v>20000</v>
      </c>
      <c r="H37">
        <v>95.8</v>
      </c>
      <c r="I37">
        <v>95.8</v>
      </c>
    </row>
    <row r="38" spans="1:9" x14ac:dyDescent="0.3">
      <c r="A38" t="s">
        <v>5</v>
      </c>
      <c r="B38" t="s">
        <v>13</v>
      </c>
      <c r="C38">
        <v>730</v>
      </c>
      <c r="D38">
        <v>2</v>
      </c>
      <c r="E38">
        <v>2190000</v>
      </c>
      <c r="F38">
        <v>43800</v>
      </c>
      <c r="G38">
        <v>20000</v>
      </c>
      <c r="H38">
        <v>97.2</v>
      </c>
      <c r="I38">
        <v>97.2</v>
      </c>
    </row>
    <row r="39" spans="1:9" x14ac:dyDescent="0.3">
      <c r="A39" t="s">
        <v>5</v>
      </c>
      <c r="B39" t="s">
        <v>14</v>
      </c>
      <c r="C39">
        <v>345</v>
      </c>
      <c r="D39">
        <v>1</v>
      </c>
      <c r="E39">
        <v>1035000</v>
      </c>
      <c r="F39">
        <v>20700</v>
      </c>
      <c r="G39">
        <v>10000</v>
      </c>
      <c r="H39">
        <v>97.1</v>
      </c>
      <c r="I39">
        <v>97.1</v>
      </c>
    </row>
    <row r="40" spans="1:9" x14ac:dyDescent="0.3">
      <c r="A40" t="s">
        <v>5</v>
      </c>
      <c r="B40" t="s">
        <v>15</v>
      </c>
      <c r="C40">
        <v>305</v>
      </c>
      <c r="D40">
        <v>1</v>
      </c>
      <c r="E40">
        <v>915000</v>
      </c>
      <c r="F40">
        <v>18300</v>
      </c>
      <c r="G40">
        <v>10000</v>
      </c>
      <c r="H40">
        <v>96.7</v>
      </c>
      <c r="I40">
        <v>96.7</v>
      </c>
    </row>
    <row r="41" spans="1:9" x14ac:dyDescent="0.3">
      <c r="A41" t="s">
        <v>5</v>
      </c>
      <c r="B41" t="s">
        <v>16</v>
      </c>
      <c r="C41">
        <v>425</v>
      </c>
      <c r="D41">
        <v>2</v>
      </c>
      <c r="E41">
        <v>1275000</v>
      </c>
      <c r="F41">
        <v>25500</v>
      </c>
      <c r="G41">
        <v>20000</v>
      </c>
      <c r="H41">
        <v>95.3</v>
      </c>
      <c r="I41">
        <v>95.3</v>
      </c>
    </row>
    <row r="42" spans="1:9" x14ac:dyDescent="0.3">
      <c r="A42" t="s">
        <v>5</v>
      </c>
      <c r="B42" t="s">
        <v>17</v>
      </c>
      <c r="C42">
        <v>265</v>
      </c>
      <c r="D42">
        <v>0</v>
      </c>
      <c r="E42">
        <v>795000</v>
      </c>
      <c r="F42">
        <v>15900</v>
      </c>
      <c r="G42">
        <v>0</v>
      </c>
      <c r="H42">
        <v>100</v>
      </c>
      <c r="I42">
        <v>100</v>
      </c>
    </row>
    <row r="43" spans="1:9" x14ac:dyDescent="0.3">
      <c r="A43" t="s">
        <v>5</v>
      </c>
      <c r="B43" t="s">
        <v>18</v>
      </c>
      <c r="C43">
        <v>500</v>
      </c>
      <c r="D43">
        <v>1</v>
      </c>
      <c r="E43">
        <v>1500000</v>
      </c>
      <c r="F43">
        <v>30000</v>
      </c>
      <c r="G43">
        <v>10000</v>
      </c>
      <c r="H43">
        <v>97.9</v>
      </c>
      <c r="I43">
        <v>97.9</v>
      </c>
    </row>
    <row r="44" spans="1:9" x14ac:dyDescent="0.3">
      <c r="A44" t="s">
        <v>6</v>
      </c>
      <c r="B44" t="s">
        <v>12</v>
      </c>
      <c r="C44">
        <v>470</v>
      </c>
      <c r="D44">
        <v>3</v>
      </c>
      <c r="E44">
        <v>1410000</v>
      </c>
      <c r="F44">
        <v>28200</v>
      </c>
      <c r="G44">
        <v>30000</v>
      </c>
      <c r="H44">
        <v>93.6</v>
      </c>
      <c r="I44">
        <v>93.6</v>
      </c>
    </row>
    <row r="45" spans="1:9" x14ac:dyDescent="0.3">
      <c r="A45" t="s">
        <v>6</v>
      </c>
      <c r="B45" t="s">
        <v>13</v>
      </c>
      <c r="C45">
        <v>705</v>
      </c>
      <c r="D45">
        <v>3</v>
      </c>
      <c r="E45">
        <v>2115000</v>
      </c>
      <c r="F45">
        <v>42300</v>
      </c>
      <c r="G45">
        <v>30000</v>
      </c>
      <c r="H45">
        <v>95.7</v>
      </c>
      <c r="I45">
        <v>95.7</v>
      </c>
    </row>
    <row r="46" spans="1:9" x14ac:dyDescent="0.3">
      <c r="A46" t="s">
        <v>6</v>
      </c>
      <c r="B46" t="s">
        <v>14</v>
      </c>
      <c r="C46">
        <v>335</v>
      </c>
      <c r="D46">
        <v>2</v>
      </c>
      <c r="E46">
        <v>1005000</v>
      </c>
      <c r="F46">
        <v>20100</v>
      </c>
      <c r="G46">
        <v>20000</v>
      </c>
      <c r="H46">
        <v>94</v>
      </c>
      <c r="I46">
        <v>94</v>
      </c>
    </row>
    <row r="47" spans="1:9" x14ac:dyDescent="0.3">
      <c r="A47" t="s">
        <v>6</v>
      </c>
      <c r="B47" t="s">
        <v>15</v>
      </c>
      <c r="C47">
        <v>295</v>
      </c>
      <c r="D47">
        <v>2</v>
      </c>
      <c r="E47">
        <v>885000</v>
      </c>
      <c r="F47">
        <v>17700</v>
      </c>
      <c r="G47">
        <v>20000</v>
      </c>
      <c r="H47">
        <v>93.2</v>
      </c>
      <c r="I47">
        <v>93.2</v>
      </c>
    </row>
    <row r="48" spans="1:9" x14ac:dyDescent="0.3">
      <c r="A48" t="s">
        <v>6</v>
      </c>
      <c r="B48" t="s">
        <v>16</v>
      </c>
      <c r="C48">
        <v>410</v>
      </c>
      <c r="D48">
        <v>2</v>
      </c>
      <c r="E48">
        <v>1230000</v>
      </c>
      <c r="F48">
        <v>24600</v>
      </c>
      <c r="G48">
        <v>20000</v>
      </c>
      <c r="H48">
        <v>95.1</v>
      </c>
      <c r="I48">
        <v>95.1</v>
      </c>
    </row>
    <row r="49" spans="1:9" x14ac:dyDescent="0.3">
      <c r="A49" t="s">
        <v>6</v>
      </c>
      <c r="B49" t="s">
        <v>17</v>
      </c>
      <c r="C49">
        <v>255</v>
      </c>
      <c r="D49">
        <v>1</v>
      </c>
      <c r="E49">
        <v>765000</v>
      </c>
      <c r="F49">
        <v>15300</v>
      </c>
      <c r="G49">
        <v>10000</v>
      </c>
      <c r="H49">
        <v>96.1</v>
      </c>
      <c r="I49">
        <v>96.1</v>
      </c>
    </row>
    <row r="50" spans="1:9" x14ac:dyDescent="0.3">
      <c r="A50" t="s">
        <v>6</v>
      </c>
      <c r="B50" t="s">
        <v>18</v>
      </c>
      <c r="C50">
        <v>480</v>
      </c>
      <c r="D50">
        <v>1</v>
      </c>
      <c r="E50">
        <v>1440000</v>
      </c>
      <c r="F50">
        <v>28800</v>
      </c>
      <c r="G50">
        <v>10000</v>
      </c>
      <c r="H50">
        <v>97.9</v>
      </c>
      <c r="I50">
        <v>97.9</v>
      </c>
    </row>
    <row r="51" spans="1:9" x14ac:dyDescent="0.3">
      <c r="A51" t="s">
        <v>7</v>
      </c>
      <c r="B51" t="s">
        <v>12</v>
      </c>
      <c r="C51">
        <v>510</v>
      </c>
      <c r="D51">
        <v>1</v>
      </c>
      <c r="E51">
        <v>1530000</v>
      </c>
      <c r="F51">
        <v>30600</v>
      </c>
      <c r="G51">
        <v>10000</v>
      </c>
      <c r="H51">
        <v>98</v>
      </c>
      <c r="I51">
        <v>98</v>
      </c>
    </row>
    <row r="52" spans="1:9" x14ac:dyDescent="0.3">
      <c r="A52" t="s">
        <v>7</v>
      </c>
      <c r="B52" t="s">
        <v>13</v>
      </c>
      <c r="C52">
        <v>760</v>
      </c>
      <c r="D52">
        <v>1</v>
      </c>
      <c r="E52">
        <v>2280000</v>
      </c>
      <c r="F52">
        <v>45600</v>
      </c>
      <c r="G52">
        <v>10000</v>
      </c>
      <c r="H52">
        <v>98.6</v>
      </c>
      <c r="I52">
        <v>98.6</v>
      </c>
    </row>
    <row r="53" spans="1:9" x14ac:dyDescent="0.3">
      <c r="A53" t="s">
        <v>7</v>
      </c>
      <c r="B53" t="s">
        <v>14</v>
      </c>
      <c r="C53">
        <v>365</v>
      </c>
      <c r="D53">
        <v>1</v>
      </c>
      <c r="E53">
        <v>1095000</v>
      </c>
      <c r="F53">
        <v>21900</v>
      </c>
      <c r="G53">
        <v>10000</v>
      </c>
      <c r="H53">
        <v>97.2</v>
      </c>
      <c r="I53">
        <v>97.2</v>
      </c>
    </row>
    <row r="54" spans="1:9" x14ac:dyDescent="0.3">
      <c r="A54" t="s">
        <v>7</v>
      </c>
      <c r="B54" t="s">
        <v>15</v>
      </c>
      <c r="C54">
        <v>320</v>
      </c>
      <c r="D54">
        <v>0</v>
      </c>
      <c r="E54">
        <v>960000</v>
      </c>
      <c r="F54">
        <v>19200</v>
      </c>
      <c r="G54">
        <v>0</v>
      </c>
      <c r="H54">
        <v>100</v>
      </c>
      <c r="I54">
        <v>100</v>
      </c>
    </row>
    <row r="55" spans="1:9" x14ac:dyDescent="0.3">
      <c r="A55" t="s">
        <v>7</v>
      </c>
      <c r="B55" t="s">
        <v>16</v>
      </c>
      <c r="C55">
        <v>450</v>
      </c>
      <c r="D55">
        <v>1</v>
      </c>
      <c r="E55">
        <v>1350000</v>
      </c>
      <c r="F55">
        <v>27000</v>
      </c>
      <c r="G55">
        <v>10000</v>
      </c>
      <c r="H55">
        <v>97.7</v>
      </c>
      <c r="I55">
        <v>97.7</v>
      </c>
    </row>
    <row r="56" spans="1:9" x14ac:dyDescent="0.3">
      <c r="A56" t="s">
        <v>7</v>
      </c>
      <c r="B56" t="s">
        <v>17</v>
      </c>
      <c r="C56">
        <v>280</v>
      </c>
      <c r="D56">
        <v>0</v>
      </c>
      <c r="E56">
        <v>840000</v>
      </c>
      <c r="F56">
        <v>16800</v>
      </c>
      <c r="G56">
        <v>0</v>
      </c>
      <c r="H56">
        <v>100</v>
      </c>
      <c r="I56">
        <v>100</v>
      </c>
    </row>
    <row r="57" spans="1:9" x14ac:dyDescent="0.3">
      <c r="A57" t="s">
        <v>7</v>
      </c>
      <c r="B57" t="s">
        <v>18</v>
      </c>
      <c r="C57">
        <v>515</v>
      </c>
      <c r="D57">
        <v>1</v>
      </c>
      <c r="E57">
        <v>1545000</v>
      </c>
      <c r="F57">
        <v>30900</v>
      </c>
      <c r="G57">
        <v>10000</v>
      </c>
      <c r="H57">
        <v>98</v>
      </c>
      <c r="I57">
        <v>98</v>
      </c>
    </row>
    <row r="58" spans="1:9" x14ac:dyDescent="0.3">
      <c r="A58" t="s">
        <v>8</v>
      </c>
      <c r="B58" t="s">
        <v>12</v>
      </c>
      <c r="C58">
        <v>500</v>
      </c>
      <c r="D58">
        <v>1</v>
      </c>
      <c r="E58">
        <v>1500000</v>
      </c>
      <c r="F58">
        <v>30000</v>
      </c>
      <c r="G58">
        <v>10000</v>
      </c>
      <c r="H58">
        <v>98</v>
      </c>
      <c r="I58">
        <v>98</v>
      </c>
    </row>
    <row r="59" spans="1:9" x14ac:dyDescent="0.3">
      <c r="A59" t="s">
        <v>8</v>
      </c>
      <c r="B59" t="s">
        <v>13</v>
      </c>
      <c r="C59">
        <v>750</v>
      </c>
      <c r="D59">
        <v>2</v>
      </c>
      <c r="E59">
        <v>2250000</v>
      </c>
      <c r="F59">
        <v>45000</v>
      </c>
      <c r="G59">
        <v>20000</v>
      </c>
      <c r="H59">
        <v>97.3</v>
      </c>
      <c r="I59">
        <v>97.3</v>
      </c>
    </row>
    <row r="60" spans="1:9" x14ac:dyDescent="0.3">
      <c r="A60" t="s">
        <v>8</v>
      </c>
      <c r="B60" t="s">
        <v>14</v>
      </c>
      <c r="C60">
        <v>360</v>
      </c>
      <c r="D60">
        <v>1</v>
      </c>
      <c r="E60">
        <v>1080000</v>
      </c>
      <c r="F60">
        <v>21600</v>
      </c>
      <c r="G60">
        <v>10000</v>
      </c>
      <c r="H60">
        <v>97.2</v>
      </c>
      <c r="I60">
        <v>97.2</v>
      </c>
    </row>
    <row r="61" spans="1:9" x14ac:dyDescent="0.3">
      <c r="A61" t="s">
        <v>8</v>
      </c>
      <c r="B61" t="s">
        <v>15</v>
      </c>
      <c r="C61">
        <v>315</v>
      </c>
      <c r="D61">
        <v>1</v>
      </c>
      <c r="E61">
        <v>945000</v>
      </c>
      <c r="F61">
        <v>18900</v>
      </c>
      <c r="G61">
        <v>10000</v>
      </c>
      <c r="H61">
        <v>96.8</v>
      </c>
      <c r="I61">
        <v>96.8</v>
      </c>
    </row>
    <row r="62" spans="1:9" x14ac:dyDescent="0.3">
      <c r="A62" t="s">
        <v>8</v>
      </c>
      <c r="B62" t="s">
        <v>16</v>
      </c>
      <c r="C62">
        <v>440</v>
      </c>
      <c r="D62">
        <v>1</v>
      </c>
      <c r="E62">
        <v>1320000</v>
      </c>
      <c r="F62">
        <v>26400</v>
      </c>
      <c r="G62">
        <v>10000</v>
      </c>
      <c r="H62">
        <v>97.7</v>
      </c>
      <c r="I62">
        <v>97.7</v>
      </c>
    </row>
    <row r="63" spans="1:9" x14ac:dyDescent="0.3">
      <c r="A63" t="s">
        <v>8</v>
      </c>
      <c r="B63" t="s">
        <v>17</v>
      </c>
      <c r="C63">
        <v>275</v>
      </c>
      <c r="D63">
        <v>0</v>
      </c>
      <c r="E63">
        <v>825000</v>
      </c>
      <c r="F63">
        <v>16500</v>
      </c>
      <c r="G63">
        <v>0</v>
      </c>
      <c r="H63">
        <v>100</v>
      </c>
      <c r="I63">
        <v>100</v>
      </c>
    </row>
    <row r="64" spans="1:9" x14ac:dyDescent="0.3">
      <c r="A64" t="s">
        <v>8</v>
      </c>
      <c r="B64" t="s">
        <v>18</v>
      </c>
      <c r="C64">
        <v>510</v>
      </c>
      <c r="D64">
        <v>1</v>
      </c>
      <c r="E64">
        <v>1530000</v>
      </c>
      <c r="F64">
        <v>30600</v>
      </c>
      <c r="G64">
        <v>10000</v>
      </c>
      <c r="H64">
        <v>98</v>
      </c>
      <c r="I64">
        <v>98</v>
      </c>
    </row>
    <row r="65" spans="1:9" x14ac:dyDescent="0.3">
      <c r="A65" t="s">
        <v>9</v>
      </c>
      <c r="B65" t="s">
        <v>12</v>
      </c>
      <c r="C65">
        <v>460</v>
      </c>
      <c r="D65">
        <v>2</v>
      </c>
      <c r="E65">
        <v>1380000</v>
      </c>
      <c r="F65">
        <v>27600</v>
      </c>
      <c r="G65">
        <v>20000</v>
      </c>
      <c r="H65">
        <v>95.6</v>
      </c>
      <c r="I65">
        <v>95.6</v>
      </c>
    </row>
    <row r="66" spans="1:9" x14ac:dyDescent="0.3">
      <c r="A66" t="s">
        <v>9</v>
      </c>
      <c r="B66" t="s">
        <v>13</v>
      </c>
      <c r="C66">
        <v>690</v>
      </c>
      <c r="D66">
        <v>3</v>
      </c>
      <c r="E66">
        <v>2070000</v>
      </c>
      <c r="F66">
        <v>41400</v>
      </c>
      <c r="G66">
        <v>30000</v>
      </c>
      <c r="H66">
        <v>95.6</v>
      </c>
      <c r="I66">
        <v>95.6</v>
      </c>
    </row>
    <row r="67" spans="1:9" x14ac:dyDescent="0.3">
      <c r="A67" t="s">
        <v>9</v>
      </c>
      <c r="B67" t="s">
        <v>14</v>
      </c>
      <c r="C67">
        <v>330</v>
      </c>
      <c r="D67">
        <v>2</v>
      </c>
      <c r="E67">
        <v>990000</v>
      </c>
      <c r="F67">
        <v>19800</v>
      </c>
      <c r="G67">
        <v>20000</v>
      </c>
      <c r="H67">
        <v>93.9</v>
      </c>
      <c r="I67">
        <v>93.9</v>
      </c>
    </row>
    <row r="68" spans="1:9" x14ac:dyDescent="0.3">
      <c r="A68" t="s">
        <v>9</v>
      </c>
      <c r="B68" t="s">
        <v>15</v>
      </c>
      <c r="C68">
        <v>290</v>
      </c>
      <c r="D68">
        <v>1</v>
      </c>
      <c r="E68">
        <v>870000</v>
      </c>
      <c r="F68">
        <v>17400</v>
      </c>
      <c r="G68">
        <v>10000</v>
      </c>
      <c r="H68">
        <v>96.5</v>
      </c>
      <c r="I68">
        <v>96.5</v>
      </c>
    </row>
    <row r="69" spans="1:9" x14ac:dyDescent="0.3">
      <c r="A69" t="s">
        <v>9</v>
      </c>
      <c r="B69" t="s">
        <v>16</v>
      </c>
      <c r="C69">
        <v>405</v>
      </c>
      <c r="D69">
        <v>2</v>
      </c>
      <c r="E69">
        <v>1215000</v>
      </c>
      <c r="F69">
        <v>24300</v>
      </c>
      <c r="G69">
        <v>20000</v>
      </c>
      <c r="H69">
        <v>95</v>
      </c>
      <c r="I69">
        <v>95</v>
      </c>
    </row>
    <row r="70" spans="1:9" x14ac:dyDescent="0.3">
      <c r="A70" t="s">
        <v>9</v>
      </c>
      <c r="B70" t="s">
        <v>17</v>
      </c>
      <c r="C70">
        <v>250</v>
      </c>
      <c r="D70">
        <v>0</v>
      </c>
      <c r="E70">
        <v>750000</v>
      </c>
      <c r="F70">
        <v>15000</v>
      </c>
      <c r="G70">
        <v>0</v>
      </c>
      <c r="H70">
        <v>100</v>
      </c>
      <c r="I70">
        <v>100</v>
      </c>
    </row>
    <row r="71" spans="1:9" x14ac:dyDescent="0.3">
      <c r="A71" t="s">
        <v>9</v>
      </c>
      <c r="B71" t="s">
        <v>18</v>
      </c>
      <c r="C71">
        <v>475</v>
      </c>
      <c r="D71">
        <v>1</v>
      </c>
      <c r="E71">
        <v>1425000</v>
      </c>
      <c r="F71">
        <v>28500</v>
      </c>
      <c r="G71">
        <v>10000</v>
      </c>
      <c r="H71">
        <v>97.9</v>
      </c>
      <c r="I71">
        <v>97.9</v>
      </c>
    </row>
    <row r="72" spans="1:9" x14ac:dyDescent="0.3">
      <c r="A72" t="s">
        <v>10</v>
      </c>
      <c r="B72" t="s">
        <v>12</v>
      </c>
      <c r="C72">
        <v>485</v>
      </c>
      <c r="D72">
        <v>1</v>
      </c>
      <c r="E72">
        <v>1455000</v>
      </c>
      <c r="F72">
        <v>29100</v>
      </c>
      <c r="G72">
        <v>10000</v>
      </c>
      <c r="H72">
        <v>97.9</v>
      </c>
      <c r="I72">
        <v>97.9</v>
      </c>
    </row>
    <row r="73" spans="1:9" x14ac:dyDescent="0.3">
      <c r="A73" t="s">
        <v>10</v>
      </c>
      <c r="B73" t="s">
        <v>13</v>
      </c>
      <c r="C73">
        <v>735</v>
      </c>
      <c r="D73">
        <v>2</v>
      </c>
      <c r="E73">
        <v>2205000</v>
      </c>
      <c r="F73">
        <v>44100</v>
      </c>
      <c r="G73">
        <v>20000</v>
      </c>
      <c r="H73">
        <v>97.3</v>
      </c>
      <c r="I73">
        <v>97.3</v>
      </c>
    </row>
    <row r="74" spans="1:9" x14ac:dyDescent="0.3">
      <c r="A74" t="s">
        <v>10</v>
      </c>
      <c r="B74" t="s">
        <v>14</v>
      </c>
      <c r="C74">
        <v>350</v>
      </c>
      <c r="D74">
        <v>1</v>
      </c>
      <c r="E74">
        <v>1050000</v>
      </c>
      <c r="F74">
        <v>21000</v>
      </c>
      <c r="G74">
        <v>10000</v>
      </c>
      <c r="H74">
        <v>97.1</v>
      </c>
      <c r="I74">
        <v>97.1</v>
      </c>
    </row>
    <row r="75" spans="1:9" x14ac:dyDescent="0.3">
      <c r="A75" t="s">
        <v>10</v>
      </c>
      <c r="B75" t="s">
        <v>15</v>
      </c>
      <c r="C75">
        <v>308</v>
      </c>
      <c r="D75">
        <v>1</v>
      </c>
      <c r="E75">
        <v>924000</v>
      </c>
      <c r="F75">
        <v>18480</v>
      </c>
      <c r="G75">
        <v>10000</v>
      </c>
      <c r="H75">
        <v>96.7</v>
      </c>
      <c r="I75">
        <v>96.7</v>
      </c>
    </row>
    <row r="76" spans="1:9" x14ac:dyDescent="0.3">
      <c r="A76" t="s">
        <v>10</v>
      </c>
      <c r="B76" t="s">
        <v>16</v>
      </c>
      <c r="C76">
        <v>430</v>
      </c>
      <c r="D76">
        <v>2</v>
      </c>
      <c r="E76">
        <v>1290000</v>
      </c>
      <c r="F76">
        <v>25800</v>
      </c>
      <c r="G76">
        <v>20000</v>
      </c>
      <c r="H76">
        <v>95.3</v>
      </c>
      <c r="I76">
        <v>95.3</v>
      </c>
    </row>
    <row r="77" spans="1:9" x14ac:dyDescent="0.3">
      <c r="A77" t="s">
        <v>10</v>
      </c>
      <c r="B77" t="s">
        <v>17</v>
      </c>
      <c r="C77">
        <v>267</v>
      </c>
      <c r="D77">
        <v>0</v>
      </c>
      <c r="E77">
        <v>801000</v>
      </c>
      <c r="F77">
        <v>16020</v>
      </c>
      <c r="G77">
        <v>0</v>
      </c>
      <c r="H77">
        <v>100</v>
      </c>
      <c r="I77">
        <v>100</v>
      </c>
    </row>
    <row r="78" spans="1:9" x14ac:dyDescent="0.3">
      <c r="A78" t="s">
        <v>10</v>
      </c>
      <c r="B78" t="s">
        <v>18</v>
      </c>
      <c r="C78">
        <v>505</v>
      </c>
      <c r="D78">
        <v>1</v>
      </c>
      <c r="E78">
        <v>1515000</v>
      </c>
      <c r="F78">
        <v>30300</v>
      </c>
      <c r="G78">
        <v>10000</v>
      </c>
      <c r="H78">
        <v>97.9</v>
      </c>
      <c r="I78">
        <v>97.9</v>
      </c>
    </row>
    <row r="79" spans="1:9" x14ac:dyDescent="0.3">
      <c r="A79" t="s">
        <v>11</v>
      </c>
      <c r="B79" t="s">
        <v>12</v>
      </c>
      <c r="C79">
        <v>520</v>
      </c>
      <c r="D79">
        <v>1</v>
      </c>
      <c r="E79">
        <v>1560000</v>
      </c>
      <c r="F79">
        <v>31200</v>
      </c>
      <c r="G79">
        <v>10000</v>
      </c>
      <c r="H79">
        <v>98</v>
      </c>
      <c r="I79">
        <v>98</v>
      </c>
    </row>
    <row r="80" spans="1:9" x14ac:dyDescent="0.3">
      <c r="A80" t="s">
        <v>11</v>
      </c>
      <c r="B80" t="s">
        <v>13</v>
      </c>
      <c r="C80">
        <v>775</v>
      </c>
      <c r="D80">
        <v>1</v>
      </c>
      <c r="E80">
        <v>2325000</v>
      </c>
      <c r="F80">
        <v>46500</v>
      </c>
      <c r="G80">
        <v>10000</v>
      </c>
      <c r="H80">
        <v>98.7</v>
      </c>
      <c r="I80">
        <v>98.7</v>
      </c>
    </row>
    <row r="81" spans="1:9" x14ac:dyDescent="0.3">
      <c r="A81" t="s">
        <v>11</v>
      </c>
      <c r="B81" t="s">
        <v>14</v>
      </c>
      <c r="C81">
        <v>375</v>
      </c>
      <c r="D81">
        <v>0</v>
      </c>
      <c r="E81">
        <v>1125000</v>
      </c>
      <c r="F81">
        <v>22500</v>
      </c>
      <c r="G81">
        <v>0</v>
      </c>
      <c r="H81">
        <v>100</v>
      </c>
      <c r="I81">
        <v>100</v>
      </c>
    </row>
    <row r="82" spans="1:9" x14ac:dyDescent="0.3">
      <c r="A82" t="s">
        <v>11</v>
      </c>
      <c r="B82" t="s">
        <v>15</v>
      </c>
      <c r="C82">
        <v>330</v>
      </c>
      <c r="D82">
        <v>0</v>
      </c>
      <c r="E82">
        <v>990000</v>
      </c>
      <c r="F82">
        <v>19800</v>
      </c>
      <c r="G82">
        <v>0</v>
      </c>
      <c r="H82">
        <v>100</v>
      </c>
      <c r="I82">
        <v>100</v>
      </c>
    </row>
    <row r="83" spans="1:9" x14ac:dyDescent="0.3">
      <c r="A83" t="s">
        <v>11</v>
      </c>
      <c r="B83" t="s">
        <v>16</v>
      </c>
      <c r="C83">
        <v>460</v>
      </c>
      <c r="D83">
        <v>1</v>
      </c>
      <c r="E83">
        <v>1380000</v>
      </c>
      <c r="F83">
        <v>27600</v>
      </c>
      <c r="G83">
        <v>10000</v>
      </c>
      <c r="H83">
        <v>97.8</v>
      </c>
      <c r="I83">
        <v>97.8</v>
      </c>
    </row>
    <row r="84" spans="1:9" x14ac:dyDescent="0.3">
      <c r="A84" t="s">
        <v>11</v>
      </c>
      <c r="B84" t="s">
        <v>17</v>
      </c>
      <c r="C84">
        <v>285</v>
      </c>
      <c r="D84">
        <v>0</v>
      </c>
      <c r="E84">
        <v>855000</v>
      </c>
      <c r="F84">
        <v>17100</v>
      </c>
      <c r="G84">
        <v>0</v>
      </c>
      <c r="H84">
        <v>100</v>
      </c>
      <c r="I84">
        <v>100</v>
      </c>
    </row>
    <row r="85" spans="1:9" x14ac:dyDescent="0.3">
      <c r="A85" t="s">
        <v>11</v>
      </c>
      <c r="B85" t="s">
        <v>18</v>
      </c>
      <c r="C85">
        <v>505</v>
      </c>
      <c r="D85">
        <v>1</v>
      </c>
      <c r="E85">
        <v>1515000</v>
      </c>
      <c r="F85">
        <v>30300</v>
      </c>
      <c r="G85">
        <v>10000</v>
      </c>
      <c r="H85">
        <v>98</v>
      </c>
      <c r="I85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/>
  </sheetViews>
  <sheetFormatPr defaultRowHeight="14.4" x14ac:dyDescent="0.3"/>
  <cols>
    <col min="1" max="1" width="20.6640625" customWidth="1"/>
    <col min="2" max="13" width="11.6640625" customWidth="1"/>
  </cols>
  <sheetData>
    <row r="1" spans="1:13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 x14ac:dyDescent="0.3">
      <c r="A2" t="s">
        <v>12</v>
      </c>
      <c r="B2">
        <v>450</v>
      </c>
      <c r="C2">
        <v>465</v>
      </c>
      <c r="D2">
        <v>440</v>
      </c>
      <c r="E2">
        <v>455</v>
      </c>
      <c r="F2">
        <v>490</v>
      </c>
      <c r="G2">
        <v>480</v>
      </c>
      <c r="H2">
        <v>470</v>
      </c>
      <c r="I2">
        <v>510</v>
      </c>
      <c r="J2">
        <v>500</v>
      </c>
      <c r="K2">
        <v>460</v>
      </c>
      <c r="L2">
        <v>485</v>
      </c>
      <c r="M2">
        <v>520</v>
      </c>
    </row>
    <row r="3" spans="1:13" x14ac:dyDescent="0.3">
      <c r="A3" t="s">
        <v>13</v>
      </c>
      <c r="B3">
        <v>680</v>
      </c>
      <c r="C3">
        <v>695</v>
      </c>
      <c r="D3">
        <v>660</v>
      </c>
      <c r="E3">
        <v>675</v>
      </c>
      <c r="F3">
        <v>740</v>
      </c>
      <c r="G3">
        <v>730</v>
      </c>
      <c r="H3">
        <v>705</v>
      </c>
      <c r="I3">
        <v>760</v>
      </c>
      <c r="J3">
        <v>750</v>
      </c>
      <c r="K3">
        <v>690</v>
      </c>
      <c r="L3">
        <v>735</v>
      </c>
      <c r="M3">
        <v>775</v>
      </c>
    </row>
    <row r="4" spans="1:13" x14ac:dyDescent="0.3">
      <c r="A4" t="s">
        <v>14</v>
      </c>
      <c r="B4">
        <v>320</v>
      </c>
      <c r="C4">
        <v>330</v>
      </c>
      <c r="D4">
        <v>310</v>
      </c>
      <c r="E4">
        <v>325</v>
      </c>
      <c r="F4">
        <v>350</v>
      </c>
      <c r="G4">
        <v>345</v>
      </c>
      <c r="H4">
        <v>335</v>
      </c>
      <c r="I4">
        <v>365</v>
      </c>
      <c r="J4">
        <v>360</v>
      </c>
      <c r="K4">
        <v>330</v>
      </c>
      <c r="L4">
        <v>350</v>
      </c>
      <c r="M4">
        <v>375</v>
      </c>
    </row>
    <row r="5" spans="1:13" x14ac:dyDescent="0.3">
      <c r="A5" t="s">
        <v>15</v>
      </c>
      <c r="B5">
        <v>280</v>
      </c>
      <c r="C5">
        <v>290</v>
      </c>
      <c r="D5">
        <v>270</v>
      </c>
      <c r="E5">
        <v>285</v>
      </c>
      <c r="F5">
        <v>310</v>
      </c>
      <c r="G5">
        <v>305</v>
      </c>
      <c r="H5">
        <v>295</v>
      </c>
      <c r="I5">
        <v>320</v>
      </c>
      <c r="J5">
        <v>315</v>
      </c>
      <c r="K5">
        <v>290</v>
      </c>
      <c r="L5">
        <v>308</v>
      </c>
      <c r="M5">
        <v>330</v>
      </c>
    </row>
    <row r="6" spans="1:13" x14ac:dyDescent="0.3">
      <c r="A6" t="s">
        <v>16</v>
      </c>
      <c r="B6">
        <v>395</v>
      </c>
      <c r="C6">
        <v>405</v>
      </c>
      <c r="D6">
        <v>385</v>
      </c>
      <c r="E6">
        <v>400</v>
      </c>
      <c r="F6">
        <v>435</v>
      </c>
      <c r="G6">
        <v>425</v>
      </c>
      <c r="H6">
        <v>410</v>
      </c>
      <c r="I6">
        <v>450</v>
      </c>
      <c r="J6">
        <v>440</v>
      </c>
      <c r="K6">
        <v>405</v>
      </c>
      <c r="L6">
        <v>430</v>
      </c>
      <c r="M6">
        <v>460</v>
      </c>
    </row>
    <row r="7" spans="1:13" x14ac:dyDescent="0.3">
      <c r="A7" t="s">
        <v>17</v>
      </c>
      <c r="B7">
        <v>245</v>
      </c>
      <c r="C7">
        <v>250</v>
      </c>
      <c r="D7">
        <v>235</v>
      </c>
      <c r="E7">
        <v>245</v>
      </c>
      <c r="F7">
        <v>270</v>
      </c>
      <c r="G7">
        <v>265</v>
      </c>
      <c r="H7">
        <v>255</v>
      </c>
      <c r="I7">
        <v>280</v>
      </c>
      <c r="J7">
        <v>275</v>
      </c>
      <c r="K7">
        <v>250</v>
      </c>
      <c r="L7">
        <v>267</v>
      </c>
      <c r="M7">
        <v>285</v>
      </c>
    </row>
    <row r="8" spans="1:13" x14ac:dyDescent="0.3">
      <c r="A8" t="s">
        <v>18</v>
      </c>
      <c r="B8">
        <v>480</v>
      </c>
      <c r="C8">
        <v>485</v>
      </c>
      <c r="D8">
        <v>480</v>
      </c>
      <c r="E8">
        <v>465</v>
      </c>
      <c r="F8">
        <v>505</v>
      </c>
      <c r="G8">
        <v>500</v>
      </c>
      <c r="H8">
        <v>480</v>
      </c>
      <c r="I8">
        <v>515</v>
      </c>
      <c r="J8">
        <v>510</v>
      </c>
      <c r="K8">
        <v>475</v>
      </c>
      <c r="L8">
        <v>505</v>
      </c>
      <c r="M8">
        <v>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4" x14ac:dyDescent="0.3"/>
  <cols>
    <col min="1" max="1" width="26.6640625" customWidth="1"/>
    <col min="2" max="2" width="18.6640625" customWidth="1"/>
    <col min="3" max="3" width="22.6640625" customWidth="1"/>
    <col min="4" max="4" width="20.6640625" customWidth="1"/>
    <col min="5" max="5" width="15.6640625" customWidth="1"/>
    <col min="6" max="6" width="17.6640625" customWidth="1"/>
    <col min="7" max="7" width="19.6640625" customWidth="1"/>
  </cols>
  <sheetData>
    <row r="1" spans="1:7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7" x14ac:dyDescent="0.3">
      <c r="A2" t="s">
        <v>41</v>
      </c>
      <c r="B2">
        <v>45</v>
      </c>
      <c r="C2">
        <v>92.5</v>
      </c>
      <c r="D2">
        <v>98.2</v>
      </c>
      <c r="E2">
        <v>3650</v>
      </c>
      <c r="F2" t="s">
        <v>48</v>
      </c>
      <c r="G2">
        <v>2850</v>
      </c>
    </row>
    <row r="3" spans="1:7" x14ac:dyDescent="0.3">
      <c r="A3" t="s">
        <v>42</v>
      </c>
      <c r="B3">
        <v>38</v>
      </c>
      <c r="C3">
        <v>95.8</v>
      </c>
      <c r="D3">
        <v>96.5</v>
      </c>
      <c r="E3">
        <v>4200</v>
      </c>
      <c r="F3" t="s">
        <v>49</v>
      </c>
      <c r="G3">
        <v>2450</v>
      </c>
    </row>
    <row r="4" spans="1:7" x14ac:dyDescent="0.3">
      <c r="A4" t="s">
        <v>43</v>
      </c>
      <c r="B4">
        <v>52</v>
      </c>
      <c r="C4">
        <v>88.3</v>
      </c>
      <c r="D4">
        <v>99.1</v>
      </c>
      <c r="E4">
        <v>2890</v>
      </c>
      <c r="F4" t="s">
        <v>50</v>
      </c>
      <c r="G4">
        <v>3200</v>
      </c>
    </row>
    <row r="5" spans="1:7" x14ac:dyDescent="0.3">
      <c r="A5" t="s">
        <v>44</v>
      </c>
      <c r="B5">
        <v>42</v>
      </c>
      <c r="C5">
        <v>94.2</v>
      </c>
      <c r="D5">
        <v>97.8</v>
      </c>
      <c r="E5">
        <v>3950</v>
      </c>
      <c r="F5" t="s">
        <v>49</v>
      </c>
      <c r="G5">
        <v>2650</v>
      </c>
    </row>
    <row r="6" spans="1:7" x14ac:dyDescent="0.3">
      <c r="A6" t="s">
        <v>45</v>
      </c>
      <c r="B6">
        <v>35</v>
      </c>
      <c r="C6">
        <v>96.5</v>
      </c>
      <c r="D6">
        <v>98.9</v>
      </c>
      <c r="E6">
        <v>4580</v>
      </c>
      <c r="F6" t="s">
        <v>48</v>
      </c>
      <c r="G6">
        <v>2890</v>
      </c>
    </row>
    <row r="7" spans="1:7" x14ac:dyDescent="0.3">
      <c r="A7" t="s">
        <v>46</v>
      </c>
      <c r="B7">
        <v>48</v>
      </c>
      <c r="C7">
        <v>90.7</v>
      </c>
      <c r="D7">
        <v>97.2</v>
      </c>
      <c r="E7">
        <v>3210</v>
      </c>
      <c r="F7" t="s">
        <v>49</v>
      </c>
      <c r="G7">
        <v>2750</v>
      </c>
    </row>
    <row r="8" spans="1:7" x14ac:dyDescent="0.3">
      <c r="A8" t="s">
        <v>47</v>
      </c>
      <c r="B8">
        <v>40</v>
      </c>
      <c r="C8">
        <v>93.8</v>
      </c>
      <c r="D8">
        <v>98.5</v>
      </c>
      <c r="E8">
        <v>3845</v>
      </c>
      <c r="F8" t="s">
        <v>48</v>
      </c>
      <c r="G8">
        <v>2550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3"/>
  <cols>
    <col min="1" max="1" width="23.6640625" customWidth="1"/>
    <col min="2" max="5" width="14.6640625" customWidth="1"/>
    <col min="6" max="6" width="18.6640625" customWidth="1"/>
    <col min="7" max="7" width="12.6640625" customWidth="1"/>
  </cols>
  <sheetData>
    <row r="1" spans="1:7" x14ac:dyDescent="0.3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</row>
    <row r="2" spans="1:7" x14ac:dyDescent="0.3">
      <c r="A2" t="s">
        <v>58</v>
      </c>
      <c r="B2">
        <v>512000</v>
      </c>
      <c r="C2">
        <v>540000</v>
      </c>
      <c r="D2">
        <v>558000</v>
      </c>
      <c r="E2">
        <v>553800</v>
      </c>
      <c r="F2">
        <v>2163800</v>
      </c>
      <c r="G2">
        <v>18.2</v>
      </c>
    </row>
    <row r="3" spans="1:7" x14ac:dyDescent="0.3">
      <c r="A3" t="s">
        <v>59</v>
      </c>
      <c r="B3">
        <v>350000</v>
      </c>
      <c r="C3">
        <v>250000</v>
      </c>
      <c r="D3">
        <v>260000</v>
      </c>
      <c r="E3">
        <v>230000</v>
      </c>
      <c r="F3">
        <v>1090000</v>
      </c>
      <c r="G3">
        <v>9.1999999999999993</v>
      </c>
    </row>
    <row r="4" spans="1:7" x14ac:dyDescent="0.3">
      <c r="A4" t="s">
        <v>60</v>
      </c>
      <c r="B4">
        <v>131000</v>
      </c>
      <c r="C4">
        <v>95000</v>
      </c>
      <c r="D4">
        <v>96000</v>
      </c>
      <c r="E4">
        <v>87000</v>
      </c>
      <c r="F4">
        <v>409000</v>
      </c>
      <c r="G4">
        <v>3.4</v>
      </c>
    </row>
    <row r="5" spans="1:7" x14ac:dyDescent="0.3">
      <c r="A5" t="s">
        <v>61</v>
      </c>
      <c r="B5">
        <v>75000</v>
      </c>
      <c r="C5">
        <v>57000</v>
      </c>
      <c r="D5">
        <v>56000</v>
      </c>
      <c r="E5">
        <v>53000</v>
      </c>
      <c r="F5">
        <v>241000</v>
      </c>
      <c r="G5">
        <v>2</v>
      </c>
    </row>
    <row r="6" spans="1:7" x14ac:dyDescent="0.3">
      <c r="A6" t="s">
        <v>62</v>
      </c>
      <c r="B6">
        <v>285000</v>
      </c>
      <c r="C6">
        <v>295000</v>
      </c>
      <c r="D6">
        <v>302000</v>
      </c>
      <c r="E6">
        <v>298000</v>
      </c>
      <c r="F6">
        <v>1180000</v>
      </c>
      <c r="G6">
        <v>9.9</v>
      </c>
    </row>
    <row r="7" spans="1:7" x14ac:dyDescent="0.3">
      <c r="A7" t="s">
        <v>63</v>
      </c>
      <c r="B7">
        <v>420000</v>
      </c>
      <c r="C7">
        <v>438000</v>
      </c>
      <c r="D7">
        <v>445000</v>
      </c>
      <c r="E7">
        <v>441000</v>
      </c>
      <c r="F7">
        <v>1744000</v>
      </c>
      <c r="G7">
        <v>14.7</v>
      </c>
    </row>
    <row r="8" spans="1:7" x14ac:dyDescent="0.3">
      <c r="A8" t="s">
        <v>64</v>
      </c>
      <c r="B8">
        <v>180000</v>
      </c>
      <c r="C8">
        <v>185000</v>
      </c>
      <c r="D8">
        <v>188000</v>
      </c>
      <c r="E8">
        <v>186000</v>
      </c>
      <c r="F8">
        <v>739000</v>
      </c>
      <c r="G8">
        <v>6.2</v>
      </c>
    </row>
    <row r="9" spans="1:7" x14ac:dyDescent="0.3">
      <c r="A9" t="s">
        <v>65</v>
      </c>
      <c r="B9">
        <v>3500000</v>
      </c>
      <c r="C9">
        <v>3650000</v>
      </c>
      <c r="D9">
        <v>3720000</v>
      </c>
      <c r="E9">
        <v>3680000</v>
      </c>
      <c r="F9">
        <v>14550000</v>
      </c>
      <c r="G9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Monthly Inventory</vt:lpstr>
      <vt:lpstr>Part Categories</vt:lpstr>
      <vt:lpstr>Supplier Performance</vt:lpstr>
      <vt:lpstr>Cost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AKSHAYA R S</cp:lastModifiedBy>
  <dcterms:created xsi:type="dcterms:W3CDTF">2025-11-19T13:00:47Z</dcterms:created>
  <dcterms:modified xsi:type="dcterms:W3CDTF">2025-11-19T13:28:09Z</dcterms:modified>
</cp:coreProperties>
</file>